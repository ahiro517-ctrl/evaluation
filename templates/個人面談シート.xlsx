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設定" sheetId="1" state="visible" r:id="rId1"/>
    <sheet name="面談シー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#,##0;-#,##0;±0"/>
    <numFmt numFmtId="166" formatCode="0.00&quot;倍&quot;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6"/>
    </font>
    <font>
      <color rgb="00616161"/>
      <sz val="9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CFD8DC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37474F"/>
      </patternFill>
    </fill>
    <fill>
      <patternFill patternType="solid">
        <fgColor rgb="00FFFDE7"/>
      </patternFill>
    </fill>
    <fill>
      <patternFill patternType="solid">
        <fgColor rgb="00455A64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0" fontId="1" fillId="3" borderId="0" pivotButton="0" quotePrefix="0" xfId="0"/>
    <xf numFmtId="0" fontId="0" fillId="0" borderId="0" applyAlignment="1" pivotButton="0" quotePrefix="0" xfId="0">
      <alignment horizontal="center" vertical="center"/>
    </xf>
    <xf numFmtId="165" fontId="0" fillId="0" borderId="0" pivotButton="0" quotePrefix="0" xfId="0"/>
    <xf numFmtId="164" fontId="0" fillId="0" borderId="0" pivotButton="0" quotePrefix="0" xfId="0"/>
    <xf numFmtId="0" fontId="1" fillId="4" borderId="0" pivotButton="0" quotePrefix="0" xfId="0"/>
    <xf numFmtId="0" fontId="2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6" borderId="1" pivotButton="0" quotePrefix="0" xfId="0"/>
    <xf numFmtId="3" fontId="0" fillId="6" borderId="1" pivotButton="0" quotePrefix="0" xfId="0"/>
    <xf numFmtId="0" fontId="4" fillId="7" borderId="0" pivotButton="0" quotePrefix="0" xfId="0"/>
    <xf numFmtId="166" fontId="0" fillId="0" borderId="0" pivotButton="0" quotePrefix="0" xfId="0"/>
    <xf numFmtId="0" fontId="0" fillId="6" borderId="1" applyAlignment="1" pivotButton="0" quotePrefix="0" xfId="0">
      <alignment horizontal="center" vertical="center"/>
    </xf>
    <xf numFmtId="0" fontId="0" fillId="6" borderId="0" applyAlignment="1" pivotButton="0" quotePrefix="0" xfId="0">
      <alignment vertical="top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20" customWidth="1" min="7" max="7"/>
    <col width="12" customWidth="1" min="8" max="8"/>
    <col width="18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■ 等級基準テーブル</t>
        </is>
      </c>
      <c r="K1" s="1" t="inlineStr">
        <is>
          <t>■ 昇降給マトリクス</t>
        </is>
      </c>
    </row>
    <row r="2">
      <c r="A2" s="2" t="inlineStr">
        <is>
          <t>等級キー</t>
        </is>
      </c>
      <c r="B2" s="2" t="inlineStr">
        <is>
          <t>等級</t>
        </is>
      </c>
      <c r="C2" s="2" t="inlineStr">
        <is>
          <t>区分</t>
        </is>
      </c>
      <c r="D2" s="2" t="inlineStr">
        <is>
          <t>月収下限</t>
        </is>
      </c>
      <c r="E2" s="2" t="inlineStr">
        <is>
          <t>月収上限</t>
        </is>
      </c>
      <c r="F2" s="2" t="inlineStr">
        <is>
          <t>半期基準粗利(1.0倍)</t>
        </is>
      </c>
      <c r="G2" s="2" t="inlineStr">
        <is>
          <t>半期目標粗利(3.0倍)</t>
        </is>
      </c>
      <c r="H2" s="2" t="inlineStr">
        <is>
          <t>等級グループ</t>
        </is>
      </c>
      <c r="K2" s="2" t="inlineStr">
        <is>
          <t>粗利判定＼バリュー</t>
        </is>
      </c>
      <c r="L2" s="3" t="inlineStr">
        <is>
          <t>要改善</t>
        </is>
      </c>
      <c r="M2" s="3" t="inlineStr">
        <is>
          <t>標準</t>
        </is>
      </c>
      <c r="N2" s="3" t="inlineStr">
        <is>
          <t>高い</t>
        </is>
      </c>
    </row>
    <row r="3">
      <c r="A3" t="inlineStr">
        <is>
          <t>B1</t>
        </is>
      </c>
      <c r="B3" t="inlineStr">
        <is>
          <t>B</t>
        </is>
      </c>
      <c r="C3" t="inlineStr">
        <is>
          <t>1年目</t>
        </is>
      </c>
      <c r="D3" s="4" t="n">
        <v>240000</v>
      </c>
      <c r="E3" s="4" t="n">
        <v>280000</v>
      </c>
      <c r="F3" s="4" t="n">
        <v>166667</v>
      </c>
      <c r="G3" s="4" t="n">
        <v>500000</v>
      </c>
      <c r="H3" t="inlineStr">
        <is>
          <t>B・A</t>
        </is>
      </c>
      <c r="K3" s="5" t="inlineStr">
        <is>
          <t>S</t>
        </is>
      </c>
      <c r="L3" s="6" t="inlineStr">
        <is>
          <t>A</t>
        </is>
      </c>
      <c r="M3" s="6" t="inlineStr">
        <is>
          <t>S</t>
        </is>
      </c>
      <c r="N3" s="6" t="inlineStr">
        <is>
          <t>S</t>
        </is>
      </c>
    </row>
    <row r="4">
      <c r="A4" t="inlineStr">
        <is>
          <t>B2</t>
        </is>
      </c>
      <c r="B4" t="inlineStr">
        <is>
          <t>B</t>
        </is>
      </c>
      <c r="C4" t="inlineStr">
        <is>
          <t>2年目</t>
        </is>
      </c>
      <c r="D4" s="4" t="n">
        <v>240000</v>
      </c>
      <c r="E4" s="4" t="n">
        <v>280000</v>
      </c>
      <c r="F4" s="4" t="n">
        <v>500000</v>
      </c>
      <c r="G4" s="4" t="n">
        <v>1500000</v>
      </c>
      <c r="H4" t="inlineStr">
        <is>
          <t>B・A</t>
        </is>
      </c>
      <c r="K4" s="5" t="inlineStr">
        <is>
          <t>A</t>
        </is>
      </c>
      <c r="L4" s="6" t="inlineStr">
        <is>
          <t>B</t>
        </is>
      </c>
      <c r="M4" s="6" t="inlineStr">
        <is>
          <t>A</t>
        </is>
      </c>
      <c r="N4" s="6" t="inlineStr">
        <is>
          <t>S</t>
        </is>
      </c>
    </row>
    <row r="5">
      <c r="A5" t="inlineStr">
        <is>
          <t>B3</t>
        </is>
      </c>
      <c r="B5" t="inlineStr">
        <is>
          <t>B</t>
        </is>
      </c>
      <c r="C5" t="inlineStr">
        <is>
          <t>3年目〜</t>
        </is>
      </c>
      <c r="D5" s="4" t="n">
        <v>240000</v>
      </c>
      <c r="E5" s="4" t="n">
        <v>280000</v>
      </c>
      <c r="F5" s="4" t="n">
        <v>833334</v>
      </c>
      <c r="G5" s="4" t="n">
        <v>2500000</v>
      </c>
      <c r="H5" t="inlineStr">
        <is>
          <t>B・A</t>
        </is>
      </c>
      <c r="K5" s="5" t="inlineStr">
        <is>
          <t>B</t>
        </is>
      </c>
      <c r="L5" s="6" t="inlineStr">
        <is>
          <t>C</t>
        </is>
      </c>
      <c r="M5" s="6" t="inlineStr">
        <is>
          <t>B</t>
        </is>
      </c>
      <c r="N5" s="6" t="inlineStr">
        <is>
          <t>A</t>
        </is>
      </c>
    </row>
    <row r="6">
      <c r="A6" t="inlineStr">
        <is>
          <t>A1</t>
        </is>
      </c>
      <c r="B6" t="inlineStr">
        <is>
          <t>A1</t>
        </is>
      </c>
      <c r="C6" t="inlineStr"/>
      <c r="D6" s="4" t="n">
        <v>300000</v>
      </c>
      <c r="E6" s="4" t="n">
        <v>349000</v>
      </c>
      <c r="F6" s="4" t="n">
        <v>1800000</v>
      </c>
      <c r="G6" s="4" t="n">
        <v>5400000</v>
      </c>
      <c r="H6" t="inlineStr">
        <is>
          <t>B・A</t>
        </is>
      </c>
      <c r="K6" s="5" t="inlineStr">
        <is>
          <t>C</t>
        </is>
      </c>
      <c r="L6" s="6" t="inlineStr">
        <is>
          <t>D</t>
        </is>
      </c>
      <c r="M6" s="6" t="inlineStr">
        <is>
          <t>C</t>
        </is>
      </c>
      <c r="N6" s="6" t="inlineStr">
        <is>
          <t>B</t>
        </is>
      </c>
    </row>
    <row r="7">
      <c r="A7" t="inlineStr">
        <is>
          <t>A2</t>
        </is>
      </c>
      <c r="B7" t="inlineStr">
        <is>
          <t>A2</t>
        </is>
      </c>
      <c r="C7" t="inlineStr"/>
      <c r="D7" s="4" t="n">
        <v>350000</v>
      </c>
      <c r="E7" s="4" t="n">
        <v>400000</v>
      </c>
      <c r="F7" s="4" t="n">
        <v>2100000</v>
      </c>
      <c r="G7" s="4" t="n">
        <v>6300000</v>
      </c>
      <c r="H7" t="inlineStr">
        <is>
          <t>B・A</t>
        </is>
      </c>
      <c r="K7" s="5" t="inlineStr">
        <is>
          <t>D</t>
        </is>
      </c>
      <c r="L7" s="6" t="inlineStr">
        <is>
          <t>E</t>
        </is>
      </c>
      <c r="M7" s="6" t="inlineStr">
        <is>
          <t>D</t>
        </is>
      </c>
      <c r="N7" s="6" t="inlineStr">
        <is>
          <t>D</t>
        </is>
      </c>
    </row>
    <row r="8">
      <c r="A8" t="inlineStr">
        <is>
          <t>L1</t>
        </is>
      </c>
      <c r="B8" t="inlineStr">
        <is>
          <t>L1</t>
        </is>
      </c>
      <c r="C8" t="inlineStr"/>
      <c r="D8" s="4" t="n">
        <v>450000</v>
      </c>
      <c r="E8" s="4" t="n">
        <v>499000</v>
      </c>
      <c r="F8" s="4" t="n">
        <v>2700000</v>
      </c>
      <c r="G8" s="4" t="n">
        <v>8100000</v>
      </c>
      <c r="H8" t="inlineStr">
        <is>
          <t>L・M</t>
        </is>
      </c>
      <c r="K8" s="5" t="inlineStr">
        <is>
          <t>E</t>
        </is>
      </c>
      <c r="L8" s="6" t="inlineStr">
        <is>
          <t>F</t>
        </is>
      </c>
      <c r="M8" s="6" t="inlineStr">
        <is>
          <t>E</t>
        </is>
      </c>
      <c r="N8" s="6" t="inlineStr">
        <is>
          <t>E</t>
        </is>
      </c>
    </row>
    <row r="9">
      <c r="A9" t="inlineStr">
        <is>
          <t>L2</t>
        </is>
      </c>
      <c r="B9" t="inlineStr">
        <is>
          <t>L2</t>
        </is>
      </c>
      <c r="C9" t="inlineStr"/>
      <c r="D9" s="4" t="n">
        <v>500000</v>
      </c>
      <c r="E9" s="4" t="n">
        <v>550000</v>
      </c>
      <c r="F9" s="4" t="n">
        <v>3000000</v>
      </c>
      <c r="G9" s="4" t="n">
        <v>9000000</v>
      </c>
      <c r="H9" t="inlineStr">
        <is>
          <t>L・M</t>
        </is>
      </c>
      <c r="K9" s="5" t="inlineStr">
        <is>
          <t>F</t>
        </is>
      </c>
      <c r="L9" s="6" t="inlineStr">
        <is>
          <t>F</t>
        </is>
      </c>
      <c r="M9" s="6" t="inlineStr">
        <is>
          <t>F</t>
        </is>
      </c>
      <c r="N9" s="6" t="inlineStr">
        <is>
          <t>F</t>
        </is>
      </c>
    </row>
    <row r="10">
      <c r="A10" t="inlineStr">
        <is>
          <t>M1</t>
        </is>
      </c>
      <c r="B10" t="inlineStr">
        <is>
          <t>M1</t>
        </is>
      </c>
      <c r="C10" t="inlineStr"/>
      <c r="D10" s="4" t="n">
        <v>600000</v>
      </c>
      <c r="E10" s="4" t="n">
        <v>649000</v>
      </c>
      <c r="F10" s="4" t="n">
        <v>3600000</v>
      </c>
      <c r="G10" s="4" t="n">
        <v>10800000</v>
      </c>
      <c r="H10" t="inlineStr">
        <is>
          <t>L・M</t>
        </is>
      </c>
    </row>
    <row r="11">
      <c r="A11" t="inlineStr">
        <is>
          <t>M2</t>
        </is>
      </c>
      <c r="B11" t="inlineStr">
        <is>
          <t>M2</t>
        </is>
      </c>
      <c r="C11" t="inlineStr"/>
      <c r="D11" s="4" t="n">
        <v>650000</v>
      </c>
      <c r="E11" s="4" t="n">
        <v>700000</v>
      </c>
      <c r="F11" s="4" t="n">
        <v>3900000</v>
      </c>
      <c r="G11" s="4" t="n">
        <v>11700000</v>
      </c>
      <c r="H11" t="inlineStr">
        <is>
          <t>L・M</t>
        </is>
      </c>
      <c r="K11" s="1" t="inlineStr">
        <is>
          <t>■ 改定額（最終判定×等級グループ・円）</t>
        </is>
      </c>
    </row>
    <row r="12">
      <c r="K12" s="2" t="inlineStr">
        <is>
          <t>最終判定＼グループ</t>
        </is>
      </c>
      <c r="L12" s="3" t="inlineStr">
        <is>
          <t>B・A</t>
        </is>
      </c>
      <c r="M12" s="3" t="inlineStr">
        <is>
          <t>L・M</t>
        </is>
      </c>
    </row>
    <row r="13">
      <c r="A13" s="1" t="inlineStr">
        <is>
          <t>■ 粗利判定（倍率→判定）※LOOKUP用に昇順</t>
        </is>
      </c>
      <c r="K13" s="5" t="inlineStr">
        <is>
          <t>S</t>
        </is>
      </c>
      <c r="L13" s="7" t="n">
        <v>12000</v>
      </c>
      <c r="M13" s="7" t="n">
        <v>18000</v>
      </c>
    </row>
    <row r="14">
      <c r="A14" s="2" t="inlineStr">
        <is>
          <t>倍率下限</t>
        </is>
      </c>
      <c r="B14" s="2" t="inlineStr">
        <is>
          <t>判定</t>
        </is>
      </c>
      <c r="C14" s="2" t="inlineStr">
        <is>
          <t>状態</t>
        </is>
      </c>
      <c r="K14" s="5" t="inlineStr">
        <is>
          <t>A</t>
        </is>
      </c>
      <c r="L14" s="7" t="n">
        <v>8000</v>
      </c>
      <c r="M14" s="7" t="n">
        <v>12000</v>
      </c>
    </row>
    <row r="15">
      <c r="A15" s="8" t="n">
        <v>0</v>
      </c>
      <c r="B15" t="inlineStr">
        <is>
          <t>F</t>
        </is>
      </c>
      <c r="C15" t="inlineStr">
        <is>
          <t>大きく不足している</t>
        </is>
      </c>
      <c r="K15" s="5" t="inlineStr">
        <is>
          <t>B</t>
        </is>
      </c>
      <c r="L15" s="7" t="n">
        <v>4000</v>
      </c>
      <c r="M15" s="7" t="n">
        <v>6000</v>
      </c>
    </row>
    <row r="16">
      <c r="A16" s="8" t="n">
        <v>1</v>
      </c>
      <c r="B16" t="inlineStr">
        <is>
          <t>E</t>
        </is>
      </c>
      <c r="C16" t="inlineStr">
        <is>
          <t>大きく改善が必要</t>
        </is>
      </c>
      <c r="K16" s="5" t="inlineStr">
        <is>
          <t>C</t>
        </is>
      </c>
      <c r="L16" s="7" t="n">
        <v>0</v>
      </c>
      <c r="M16" s="7" t="n">
        <v>0</v>
      </c>
    </row>
    <row r="17">
      <c r="A17" s="8" t="n">
        <v>1.5</v>
      </c>
      <c r="B17" t="inlineStr">
        <is>
          <t>D</t>
        </is>
      </c>
      <c r="C17" t="inlineStr">
        <is>
          <t>改善が必要</t>
        </is>
      </c>
      <c r="K17" s="5" t="inlineStr">
        <is>
          <t>D</t>
        </is>
      </c>
      <c r="L17" s="7" t="n">
        <v>-4000</v>
      </c>
      <c r="M17" s="7" t="n">
        <v>-6000</v>
      </c>
    </row>
    <row r="18">
      <c r="A18" s="8" t="n">
        <v>2</v>
      </c>
      <c r="B18" t="inlineStr">
        <is>
          <t>C</t>
        </is>
      </c>
      <c r="C18" t="inlineStr">
        <is>
          <t>据え置き水準</t>
        </is>
      </c>
      <c r="K18" s="5" t="inlineStr">
        <is>
          <t>E</t>
        </is>
      </c>
      <c r="L18" s="7" t="n">
        <v>-8000</v>
      </c>
      <c r="M18" s="7" t="n">
        <v>-12000</v>
      </c>
    </row>
    <row r="19">
      <c r="A19" s="8" t="n">
        <v>2.5</v>
      </c>
      <c r="B19" t="inlineStr">
        <is>
          <t>B</t>
        </is>
      </c>
      <c r="C19" t="inlineStr">
        <is>
          <t>目標には届かないが近い水準</t>
        </is>
      </c>
      <c r="K19" s="5" t="inlineStr">
        <is>
          <t>F</t>
        </is>
      </c>
      <c r="L19" s="7" t="n">
        <v>-12000</v>
      </c>
      <c r="M19" s="7" t="n">
        <v>-18000</v>
      </c>
    </row>
    <row r="20">
      <c r="A20" s="8" t="n">
        <v>3</v>
      </c>
      <c r="B20" t="inlineStr">
        <is>
          <t>A</t>
        </is>
      </c>
      <c r="C20" t="inlineStr">
        <is>
          <t>目標を達成している</t>
        </is>
      </c>
    </row>
    <row r="21">
      <c r="A21" s="8" t="n">
        <v>3.5</v>
      </c>
      <c r="B21" t="inlineStr">
        <is>
          <t>S</t>
        </is>
      </c>
      <c r="C21" t="inlineStr">
        <is>
          <t>目標を大きく超えている</t>
        </is>
      </c>
    </row>
    <row r="43">
      <c r="A43" s="1" t="inlineStr">
        <is>
          <t>■ 運用情報</t>
        </is>
      </c>
    </row>
    <row r="44">
      <c r="A44" t="inlineStr">
        <is>
          <t>対象期</t>
        </is>
      </c>
      <c r="B44" s="9" t="inlineStr">
        <is>
          <t>2026前期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hidden="1" width="13" customWidth="1" min="5" max="5"/>
    <col hidden="1" width="13" customWidth="1" min="6" max="6"/>
  </cols>
  <sheetData>
    <row r="1" ht="28" customHeight="1">
      <c r="A1" s="10" t="inlineStr">
        <is>
          <t>個人面談シート</t>
        </is>
      </c>
      <c r="E1" s="11" t="inlineStr">
        <is>
          <t>等級キー</t>
        </is>
      </c>
      <c r="F1" s="11">
        <f>IF($B$6="","",IF($B$6="B","B"&amp;IF($D$6="",1,MIN($D$6,3)),$B$6))</f>
        <v/>
      </c>
    </row>
    <row r="2">
      <c r="A2" s="5" t="inlineStr">
        <is>
          <t>対象期</t>
        </is>
      </c>
      <c r="B2">
        <f>設定!$B$44</f>
        <v/>
      </c>
      <c r="E2" s="11" t="inlineStr">
        <is>
          <t>等級グループ</t>
        </is>
      </c>
      <c r="F2" s="11">
        <f>IFERROR(VLOOKUP($F$1,設定!$A$3:$H$11,8,FALSE),"")</f>
        <v/>
      </c>
    </row>
    <row r="3">
      <c r="A3" s="5" t="inlineStr">
        <is>
          <t>氏名</t>
        </is>
      </c>
      <c r="B3" s="12" t="n"/>
    </row>
    <row r="4">
      <c r="A4" s="5" t="inlineStr">
        <is>
          <t>社員ID</t>
        </is>
      </c>
      <c r="B4" s="12" t="n"/>
    </row>
    <row r="5">
      <c r="A5" s="5" t="inlineStr">
        <is>
          <t>区分</t>
        </is>
      </c>
      <c r="B5" s="12" t="n"/>
    </row>
    <row r="6">
      <c r="A6" s="5" t="inlineStr">
        <is>
          <t>等級</t>
        </is>
      </c>
      <c r="B6" s="12" t="n"/>
      <c r="C6" s="5" t="inlineStr">
        <is>
          <t>B年次</t>
        </is>
      </c>
      <c r="D6" s="12" t="n"/>
    </row>
    <row r="7">
      <c r="A7" s="5" t="inlineStr">
        <is>
          <t>ユニット</t>
        </is>
      </c>
      <c r="B7" s="12" t="n"/>
      <c r="C7" s="5" t="inlineStr">
        <is>
          <t>ユニット長</t>
        </is>
      </c>
      <c r="D7" s="12" t="n"/>
    </row>
    <row r="8">
      <c r="A8" s="5" t="inlineStr">
        <is>
          <t>現在月給</t>
        </is>
      </c>
      <c r="B8" s="13" t="n"/>
    </row>
    <row r="9">
      <c r="A9" s="14" t="inlineStr">
        <is>
          <t>■ 粗利評価</t>
        </is>
      </c>
    </row>
    <row r="10">
      <c r="A10" s="5" t="inlineStr">
        <is>
          <t>半期基準粗利</t>
        </is>
      </c>
      <c r="B10" s="4">
        <f>IF($F$1="","",IFERROR(VLOOKUP($F$1,設定!$A$3:$H$11,6,FALSE),""))</f>
        <v/>
      </c>
    </row>
    <row r="11">
      <c r="A11" s="5" t="inlineStr">
        <is>
          <t>実績半期粗利</t>
        </is>
      </c>
      <c r="B11" s="13" t="n"/>
    </row>
    <row r="12">
      <c r="A12" s="5" t="inlineStr">
        <is>
          <t>粗利倍率</t>
        </is>
      </c>
      <c r="B12" s="15">
        <f>IF(OR($B$10="",$B$11=""),"",$B$11/$B$10)</f>
        <v/>
      </c>
    </row>
    <row r="13">
      <c r="A13" s="5" t="inlineStr">
        <is>
          <t>粗利判定</t>
        </is>
      </c>
      <c r="B13">
        <f>IF($B$12="","",LOOKUP($B$12,設定!$A$15:$A$21,設定!$B$15:$B$21))</f>
        <v/>
      </c>
    </row>
    <row r="15">
      <c r="A15" s="14" t="inlineStr">
        <is>
          <t>■ バリュー評価（各3点・9項目・27点満点）</t>
        </is>
      </c>
    </row>
    <row r="16">
      <c r="A16" s="2" t="inlineStr">
        <is>
          <t>項目</t>
        </is>
      </c>
      <c r="B16" s="2" t="inlineStr">
        <is>
          <t>自己</t>
        </is>
      </c>
      <c r="C16" s="2" t="inlineStr">
        <is>
          <t>ユニット長</t>
        </is>
      </c>
    </row>
    <row r="17">
      <c r="A17" t="inlineStr">
        <is>
          <t>信頼</t>
        </is>
      </c>
      <c r="B17" s="16" t="n"/>
      <c r="C17" s="16" t="n"/>
    </row>
    <row r="18">
      <c r="A18" t="inlineStr">
        <is>
          <t>疑問</t>
        </is>
      </c>
      <c r="B18" s="16" t="n"/>
      <c r="C18" s="16" t="n"/>
    </row>
    <row r="19">
      <c r="A19" t="inlineStr">
        <is>
          <t>熱量</t>
        </is>
      </c>
      <c r="B19" s="16" t="n"/>
      <c r="C19" s="16" t="n"/>
    </row>
    <row r="20">
      <c r="A20" t="inlineStr">
        <is>
          <t>創造</t>
        </is>
      </c>
      <c r="B20" s="16" t="n"/>
      <c r="C20" s="16" t="n"/>
    </row>
    <row r="21">
      <c r="A21" t="inlineStr">
        <is>
          <t>実行速度</t>
        </is>
      </c>
      <c r="B21" s="16" t="n"/>
      <c r="C21" s="16" t="n"/>
    </row>
    <row r="22">
      <c r="A22" t="inlineStr">
        <is>
          <t>主体性</t>
        </is>
      </c>
      <c r="B22" s="16" t="n"/>
      <c r="C22" s="16" t="n"/>
    </row>
    <row r="23">
      <c r="A23" t="inlineStr">
        <is>
          <t>チームワーク</t>
        </is>
      </c>
      <c r="B23" s="16" t="n"/>
      <c r="C23" s="16" t="n"/>
    </row>
    <row r="24">
      <c r="A24" t="inlineStr">
        <is>
          <t>挑戦</t>
        </is>
      </c>
      <c r="B24" s="16" t="n"/>
      <c r="C24" s="16" t="n"/>
    </row>
    <row r="25">
      <c r="A25" t="inlineStr">
        <is>
          <t>責任</t>
        </is>
      </c>
      <c r="B25" s="16" t="n"/>
      <c r="C25" s="16" t="n"/>
    </row>
    <row r="26">
      <c r="A26" s="5" t="inlineStr">
        <is>
          <t>合計</t>
        </is>
      </c>
      <c r="B26">
        <f>IF(COUNT(B17:B25)=0,"",SUM(B17:B25))</f>
        <v/>
      </c>
      <c r="C26">
        <f>IF(COUNT(C17:C25)=0,"",SUM(C17:C25))</f>
        <v/>
      </c>
    </row>
    <row r="27">
      <c r="A27" s="5" t="inlineStr">
        <is>
          <t>確定合計（既定＝ユニット長／会議で上書き可）</t>
        </is>
      </c>
      <c r="B27">
        <f>IF($B$4="","",IF(C26&lt;&gt;"",C26,B26))</f>
        <v/>
      </c>
    </row>
    <row r="28">
      <c r="A28" s="5" t="inlineStr">
        <is>
          <t>バリュー判定</t>
        </is>
      </c>
      <c r="B28">
        <f>IF($B$27="","",IF($B$27&gt;=23,"高い",IF($B$27&gt;=17,"標準","要改善")))</f>
        <v/>
      </c>
    </row>
    <row r="30">
      <c r="A30" s="14" t="inlineStr">
        <is>
          <t>■ スキル評価（1〜5・10項目）※昇給額には使わない</t>
        </is>
      </c>
    </row>
    <row r="31">
      <c r="A31" s="2" t="inlineStr">
        <is>
          <t>項目</t>
        </is>
      </c>
      <c r="B31" s="2" t="inlineStr">
        <is>
          <t>自己</t>
        </is>
      </c>
      <c r="C31" s="2" t="inlineStr">
        <is>
          <t>ユニット長</t>
        </is>
      </c>
      <c r="D31" s="2" t="inlineStr">
        <is>
          <t>確定</t>
        </is>
      </c>
    </row>
    <row r="32">
      <c r="A32" t="inlineStr">
        <is>
          <t>全体管理</t>
        </is>
      </c>
      <c r="B32" s="16" t="n"/>
      <c r="C32" s="16" t="n"/>
      <c r="D32" s="6">
        <f>IF($B$4="","",IF(C32&lt;&gt;"",C32,B32))</f>
        <v/>
      </c>
    </row>
    <row r="33">
      <c r="A33" t="inlineStr">
        <is>
          <t>予算管理</t>
        </is>
      </c>
      <c r="B33" s="16" t="n"/>
      <c r="C33" s="16" t="n"/>
      <c r="D33" s="6">
        <f>IF($B$4="","",IF(C33&lt;&gt;"",C33,B33))</f>
        <v/>
      </c>
    </row>
    <row r="34">
      <c r="A34" t="inlineStr">
        <is>
          <t>企画</t>
        </is>
      </c>
      <c r="B34" s="16" t="n"/>
      <c r="C34" s="16" t="n"/>
      <c r="D34" s="6">
        <f>IF($B$4="","",IF(C34&lt;&gt;"",C34,B34))</f>
        <v/>
      </c>
    </row>
    <row r="35">
      <c r="A35" t="inlineStr">
        <is>
          <t>PR・集客</t>
        </is>
      </c>
      <c r="B35" s="16" t="n"/>
      <c r="C35" s="16" t="n"/>
      <c r="D35" s="6">
        <f>IF($B$4="","",IF(C35&lt;&gt;"",C35,B35))</f>
        <v/>
      </c>
    </row>
    <row r="36">
      <c r="A36" t="inlineStr">
        <is>
          <t>クリエイティブ</t>
        </is>
      </c>
      <c r="B36" s="16" t="n"/>
      <c r="C36" s="16" t="n"/>
      <c r="D36" s="6">
        <f>IF($B$4="","",IF(C36&lt;&gt;"",C36,B36))</f>
        <v/>
      </c>
    </row>
    <row r="37">
      <c r="A37" t="inlineStr">
        <is>
          <t>事務局</t>
        </is>
      </c>
      <c r="B37" s="16" t="n"/>
      <c r="C37" s="16" t="n"/>
      <c r="D37" s="6">
        <f>IF($B$4="","",IF(C37&lt;&gt;"",C37,B37))</f>
        <v/>
      </c>
    </row>
    <row r="38">
      <c r="A38" t="inlineStr">
        <is>
          <t>運営制作</t>
        </is>
      </c>
      <c r="B38" s="16" t="n"/>
      <c r="C38" s="16" t="n"/>
      <c r="D38" s="6">
        <f>IF($B$4="","",IF(C38&lt;&gt;"",C38,B38))</f>
        <v/>
      </c>
    </row>
    <row r="39">
      <c r="A39" t="inlineStr">
        <is>
          <t>進行制作</t>
        </is>
      </c>
      <c r="B39" s="16" t="n"/>
      <c r="C39" s="16" t="n"/>
      <c r="D39" s="6">
        <f>IF($B$4="","",IF(C39&lt;&gt;"",C39,B39))</f>
        <v/>
      </c>
    </row>
    <row r="40">
      <c r="A40" t="inlineStr">
        <is>
          <t>運営現場</t>
        </is>
      </c>
      <c r="B40" s="16" t="n"/>
      <c r="C40" s="16" t="n"/>
      <c r="D40" s="6">
        <f>IF($B$4="","",IF(C40&lt;&gt;"",C40,B40))</f>
        <v/>
      </c>
    </row>
    <row r="41">
      <c r="A41" t="inlineStr">
        <is>
          <t>進行現場</t>
        </is>
      </c>
      <c r="B41" s="16" t="n"/>
      <c r="C41" s="16" t="n"/>
      <c r="D41" s="6">
        <f>IF($B$4="","",IF(C41&lt;&gt;"",C41,B41))</f>
        <v/>
      </c>
    </row>
    <row r="42">
      <c r="A42" s="5" t="inlineStr">
        <is>
          <t>全項目3以上</t>
        </is>
      </c>
      <c r="B42">
        <f>IF(COUNT(D32:D41)&lt;10,"",IF(MIN(D32:D41)&gt;=3,"○","×"))</f>
        <v/>
      </c>
    </row>
    <row r="43">
      <c r="A43" s="5" t="inlineStr">
        <is>
          <t>制作・現場で4以上の強み</t>
        </is>
      </c>
      <c r="B43">
        <f>IF(COUNT(D32:D41)&lt;10,"",IF(MAX(D38:D41)&gt;=4,"○","×"))</f>
        <v/>
      </c>
    </row>
    <row r="44">
      <c r="A44" s="5" t="inlineStr">
        <is>
          <t>1・2が残っている</t>
        </is>
      </c>
      <c r="B44">
        <f>IF(COUNT(D32:D41)&lt;10,"",IF(COUNTIF(D32:D41,"&lt;=2")&gt;0,"有","無"))</f>
        <v/>
      </c>
    </row>
    <row r="46">
      <c r="A46" s="14" t="inlineStr">
        <is>
          <t>■ 最終判定・処遇</t>
        </is>
      </c>
    </row>
    <row r="47">
      <c r="A47" s="5" t="inlineStr">
        <is>
          <t>最終判定（粗利×バリュー）</t>
        </is>
      </c>
      <c r="B47">
        <f>IF(OR($B$13="",$B$28=""),"",IFERROR(INDEX(設定!$L$3:$N$9,MATCH($B$13,設定!$K$3:$K$9,0),MATCH($B$28,設定!$L$2:$N$2,0)),""))</f>
        <v/>
      </c>
    </row>
    <row r="48">
      <c r="A48" s="5" t="inlineStr">
        <is>
          <t>改定額</t>
        </is>
      </c>
      <c r="B48" s="7">
        <f>IF(OR($B$47="",$F$2=""),"",IFERROR(INDEX(設定!$L$13:$M$19,MATCH($B$47,設定!$K$13:$K$19,0),MATCH($F$2,設定!$L$12:$M$12,0)),""))</f>
        <v/>
      </c>
    </row>
    <row r="49">
      <c r="A49" s="5" t="inlineStr">
        <is>
          <t>現在月給</t>
        </is>
      </c>
      <c r="B49" s="4">
        <f>$B$8</f>
        <v/>
      </c>
    </row>
    <row r="50">
      <c r="A50" s="5" t="inlineStr">
        <is>
          <t>改定後月給</t>
        </is>
      </c>
      <c r="B50" s="4">
        <f>IF(OR($B$48="",$B$49=""),"",$B$49+$B$48)</f>
        <v/>
      </c>
    </row>
    <row r="52">
      <c r="A52" s="14" t="inlineStr">
        <is>
          <t>■ 昇格・降格メモ（連続条件は履歴を見て評価会議で判断）</t>
        </is>
      </c>
    </row>
    <row r="53">
      <c r="A53" s="5" t="inlineStr">
        <is>
          <t>昇格への本人意思</t>
        </is>
      </c>
      <c r="B53" s="12" t="n"/>
    </row>
    <row r="54">
      <c r="A54" s="5" t="inlineStr">
        <is>
          <t>昇格後のアサイン・支援体制</t>
        </is>
      </c>
      <c r="B54" s="17" t="n"/>
    </row>
    <row r="55">
      <c r="A55" s="5" t="inlineStr">
        <is>
          <t>降格の懸念・回復状況</t>
        </is>
      </c>
      <c r="B55" s="17" t="n"/>
    </row>
    <row r="57">
      <c r="A57" s="14" t="inlineStr">
        <is>
          <t>■ 面談メモ（次の半期に向けて）</t>
        </is>
      </c>
    </row>
    <row r="58" ht="32" customHeight="1">
      <c r="A58" s="5" t="inlineStr">
        <is>
          <t>自分の粗利</t>
        </is>
      </c>
      <c r="B58" s="17" t="n"/>
    </row>
    <row r="59" ht="32" customHeight="1">
      <c r="A59" s="5" t="inlineStr">
        <is>
          <t>不足している要素</t>
        </is>
      </c>
      <c r="B59" s="17" t="n"/>
    </row>
    <row r="60" ht="32" customHeight="1">
      <c r="A60" s="5" t="inlineStr">
        <is>
          <t>次に取り組むこと</t>
        </is>
      </c>
      <c r="B60" s="17" t="n"/>
    </row>
    <row r="61" ht="32" customHeight="1">
      <c r="A61" s="5" t="inlineStr">
        <is>
          <t>伸ばすスキル</t>
        </is>
      </c>
      <c r="B61" s="17" t="n"/>
    </row>
    <row r="62" ht="32" customHeight="1">
      <c r="A62" s="5" t="inlineStr">
        <is>
          <t>必要な案件経験</t>
        </is>
      </c>
      <c r="B62" s="17" t="n"/>
    </row>
    <row r="63" ht="32" customHeight="1">
      <c r="A63" s="5" t="inlineStr">
        <is>
          <t>会社・チームに求めるサポート</t>
        </is>
      </c>
      <c r="B63" s="17" t="n"/>
    </row>
    <row r="65">
      <c r="A65" s="14" t="inlineStr">
        <is>
          <t>■ 転記用（値をコピーして会議用シートへ貼り付け）</t>
        </is>
      </c>
    </row>
    <row r="66">
      <c r="A66" s="18" t="inlineStr">
        <is>
          <t>粗利実績 →「粗利入力」F列</t>
        </is>
      </c>
      <c r="B66">
        <f>$B$11</f>
        <v/>
      </c>
    </row>
    <row r="67">
      <c r="A67" s="18" t="inlineStr">
        <is>
          <t>バリュー自己 →「バリュー評価」C列</t>
        </is>
      </c>
      <c r="B67">
        <f>$B$17</f>
        <v/>
      </c>
      <c r="C67">
        <f>$B$18</f>
        <v/>
      </c>
      <c r="D67">
        <f>$B$19</f>
        <v/>
      </c>
      <c r="E67">
        <f>$B$20</f>
        <v/>
      </c>
      <c r="F67">
        <f>$B$21</f>
        <v/>
      </c>
      <c r="G67">
        <f>$B$22</f>
        <v/>
      </c>
      <c r="H67">
        <f>$B$23</f>
        <v/>
      </c>
      <c r="I67">
        <f>$B$24</f>
        <v/>
      </c>
      <c r="J67">
        <f>$B$25</f>
        <v/>
      </c>
    </row>
    <row r="68">
      <c r="A68" s="18" t="inlineStr">
        <is>
          <t>バリュー長 →「バリュー評価」M列</t>
        </is>
      </c>
      <c r="B68">
        <f>$C$17</f>
        <v/>
      </c>
      <c r="C68">
        <f>$C$18</f>
        <v/>
      </c>
      <c r="D68">
        <f>$C$19</f>
        <v/>
      </c>
      <c r="E68">
        <f>$C$20</f>
        <v/>
      </c>
      <c r="F68">
        <f>$C$21</f>
        <v/>
      </c>
      <c r="G68">
        <f>$C$22</f>
        <v/>
      </c>
      <c r="H68">
        <f>$C$23</f>
        <v/>
      </c>
      <c r="I68">
        <f>$C$24</f>
        <v/>
      </c>
      <c r="J68">
        <f>$C$25</f>
        <v/>
      </c>
    </row>
    <row r="69">
      <c r="A69" s="18" t="inlineStr">
        <is>
          <t>スキル自己 →「スキル評価」C列</t>
        </is>
      </c>
      <c r="B69">
        <f>$B$32</f>
        <v/>
      </c>
      <c r="C69">
        <f>$B$33</f>
        <v/>
      </c>
      <c r="D69">
        <f>$B$34</f>
        <v/>
      </c>
      <c r="E69">
        <f>$B$35</f>
        <v/>
      </c>
      <c r="F69">
        <f>$B$36</f>
        <v/>
      </c>
      <c r="G69">
        <f>$B$37</f>
        <v/>
      </c>
      <c r="H69">
        <f>$B$38</f>
        <v/>
      </c>
      <c r="I69">
        <f>$B$39</f>
        <v/>
      </c>
      <c r="J69">
        <f>$B$40</f>
        <v/>
      </c>
      <c r="K69">
        <f>$B$41</f>
        <v/>
      </c>
    </row>
    <row r="70">
      <c r="A70" s="18" t="inlineStr">
        <is>
          <t>スキル長 →「スキル評価」M列</t>
        </is>
      </c>
      <c r="B70">
        <f>$C$32</f>
        <v/>
      </c>
      <c r="C70">
        <f>$C$33</f>
        <v/>
      </c>
      <c r="D70">
        <f>$C$34</f>
        <v/>
      </c>
      <c r="E70">
        <f>$C$35</f>
        <v/>
      </c>
      <c r="F70">
        <f>$C$36</f>
        <v/>
      </c>
      <c r="G70">
        <f>$C$37</f>
        <v/>
      </c>
      <c r="H70">
        <f>$C$38</f>
        <v/>
      </c>
      <c r="I70">
        <f>$C$39</f>
        <v/>
      </c>
      <c r="J70">
        <f>$C$40</f>
        <v/>
      </c>
      <c r="K70">
        <f>$C$41</f>
        <v/>
      </c>
    </row>
  </sheetData>
  <mergeCells count="16">
    <mergeCell ref="A1:D1"/>
    <mergeCell ref="A9:D9"/>
    <mergeCell ref="B59:D59"/>
    <mergeCell ref="B60:D60"/>
    <mergeCell ref="B63:D63"/>
    <mergeCell ref="B61:D61"/>
    <mergeCell ref="A30:D30"/>
    <mergeCell ref="A15:D15"/>
    <mergeCell ref="A52:D52"/>
    <mergeCell ref="B58:D58"/>
    <mergeCell ref="A57:D57"/>
    <mergeCell ref="A65:D65"/>
    <mergeCell ref="B62:D62"/>
    <mergeCell ref="B55:D55"/>
    <mergeCell ref="A46:D46"/>
    <mergeCell ref="B54:D54"/>
  </mergeCells>
  <dataValidations count="6">
    <dataValidation sqref="B17:C25" showDropDown="0" showInputMessage="0" showErrorMessage="0" allowBlank="1" error="0〜3で入力" type="list">
      <formula1>"0,1,2,3"</formula1>
    </dataValidation>
    <dataValidation sqref="B32:C41" showDropDown="0" showInputMessage="0" showErrorMessage="0" allowBlank="1" error="1〜5で入力" type="list">
      <formula1>"1,2,3,4,5"</formula1>
    </dataValidation>
    <dataValidation sqref="B6" showDropDown="0" showInputMessage="0" showErrorMessage="0" allowBlank="1" type="list">
      <formula1>"B,A1,A2,L1,L2,M1,M2"</formula1>
    </dataValidation>
    <dataValidation sqref="B5" showDropDown="0" showInputMessage="0" showErrorMessage="0" allowBlank="1" type="list">
      <formula1>"正社員,パートナー"</formula1>
    </dataValidation>
    <dataValidation sqref="D6" showDropDown="0" showInputMessage="0" showErrorMessage="0" allowBlank="1" type="list">
      <formula1>"1,2,3"</formula1>
    </dataValidation>
    <dataValidation sqref="B53" showDropDown="0" showInputMessage="0" showErrorMessage="0" allowBlank="1" type="list">
      <formula1>"○,×,—"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2026-06-18T10:30:51Z</dcterms:created>
  <dcterms:modified xsi:type="dcterms:W3CDTF">2026-06-18T10:30:51Z</dcterms:modified>
</cp:coreProperties>
</file>